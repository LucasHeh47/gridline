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Rate">'Sales Data'!$J$1</definedName>
    <definedName name="_xlnm._FilterDatabase" localSheetId="0" hidden="1">'Sales Data'!$A$1:$G$21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bgColor rgb="00FFC7CE"/>
        </patternFill>
      </fill>
    </dxf>
    <dxf>
      <font>
        <i val="1"/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Data'!$A$2:$A$21</f>
            </numRef>
          </cat>
          <val>
            <numRef>
              <f>'Sales Data'!$F$2:$F$21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'Summary'!$B$2:$B$5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Manager</author>
  </authors>
  <commentList>
    <comment ref="C2" authorId="0" shapeId="0">
      <text>
        <t>Top performer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port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3" max="3"/>
    <col width="18" customWidth="1" min="9" max="9"/>
  </cols>
  <sheetData>
    <row r="1" ht="24" customHeight="1">
      <c r="A1" s="1" t="inlineStr">
        <is>
          <t>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Tax</t>
        </is>
      </c>
      <c r="I1" t="inlineStr">
        <is>
          <t>Tax rate</t>
        </is>
      </c>
      <c r="J1" s="2" t="n">
        <v>0.0825</v>
      </c>
    </row>
    <row r="2">
      <c r="A2" s="3" t="n">
        <v>45658</v>
      </c>
      <c r="B2" t="inlineStr">
        <is>
          <t>North</t>
        </is>
      </c>
      <c r="C2" t="inlineStr">
        <is>
          <t>Ann</t>
        </is>
      </c>
      <c r="D2" t="n">
        <v>10</v>
      </c>
      <c r="E2" s="4" t="n">
        <v>4.5</v>
      </c>
      <c r="F2" s="4">
        <f>D2*E2</f>
        <v/>
      </c>
      <c r="G2" s="4">
        <f>ROUND(F2*Rate,2)</f>
        <v/>
      </c>
    </row>
    <row r="3">
      <c r="A3" s="3" t="n">
        <v>45665</v>
      </c>
      <c r="B3" t="inlineStr">
        <is>
          <t>South</t>
        </is>
      </c>
      <c r="C3" t="inlineStr">
        <is>
          <t>Dev</t>
        </is>
      </c>
      <c r="D3" t="n">
        <v>17</v>
      </c>
      <c r="E3" s="4" t="n">
        <v>12</v>
      </c>
      <c r="F3" s="4">
        <f>D3*E3</f>
        <v/>
      </c>
      <c r="G3" s="4">
        <f>ROUND(F3*Rate,2)</f>
        <v/>
      </c>
      <c r="I3" t="inlineStr">
        <is>
          <t>Total revenue</t>
        </is>
      </c>
      <c r="J3">
        <f>SUM(F2:F21)</f>
        <v/>
      </c>
    </row>
    <row r="4">
      <c r="A4" s="3" t="n">
        <v>45672</v>
      </c>
      <c r="B4" t="inlineStr">
        <is>
          <t>East</t>
        </is>
      </c>
      <c r="C4" t="inlineStr">
        <is>
          <t>Cara</t>
        </is>
      </c>
      <c r="D4" t="n">
        <v>24</v>
      </c>
      <c r="E4" s="4" t="n">
        <v>30</v>
      </c>
      <c r="F4" s="4">
        <f>D4*E4</f>
        <v/>
      </c>
      <c r="G4" s="4">
        <f>ROUND(F4*Rate,2)</f>
        <v/>
      </c>
      <c r="I4" t="inlineStr">
        <is>
          <t>North revenue</t>
        </is>
      </c>
      <c r="J4">
        <f>SUMIFS(F2:F21,B2:B21,"North")</f>
        <v/>
      </c>
    </row>
    <row r="5">
      <c r="A5" s="3" t="n">
        <v>45679</v>
      </c>
      <c r="B5" t="inlineStr">
        <is>
          <t>West</t>
        </is>
      </c>
      <c r="C5" t="inlineStr">
        <is>
          <t>Bob</t>
        </is>
      </c>
      <c r="D5" t="n">
        <v>31</v>
      </c>
      <c r="E5" s="4" t="n">
        <v>7.25</v>
      </c>
      <c r="F5" s="4">
        <f>D5*E5</f>
        <v/>
      </c>
      <c r="G5" s="4">
        <f>ROUND(F5*Rate,2)</f>
        <v/>
      </c>
      <c r="I5" t="inlineStr">
        <is>
          <t>Lookup Cara</t>
        </is>
      </c>
      <c r="J5">
        <f>IFERROR(VLOOKUP("Cara",C2:F21,4,FALSE),"none")</f>
        <v/>
      </c>
    </row>
    <row r="6">
      <c r="A6" s="3" t="n">
        <v>45686</v>
      </c>
      <c r="B6" t="inlineStr">
        <is>
          <t>North</t>
        </is>
      </c>
      <c r="C6" t="inlineStr">
        <is>
          <t>Ann</t>
        </is>
      </c>
      <c r="D6" t="n">
        <v>38</v>
      </c>
      <c r="E6" s="4" t="n">
        <v>4.5</v>
      </c>
      <c r="F6" s="4">
        <f>D6*E6</f>
        <v/>
      </c>
      <c r="G6" s="4">
        <f>ROUND(F6*Rate,2)</f>
        <v/>
      </c>
      <c r="I6" t="inlineStr">
        <is>
          <t>Avg units</t>
        </is>
      </c>
      <c r="J6">
        <f>AVERAGE(D2:D21)</f>
        <v/>
      </c>
    </row>
    <row r="7">
      <c r="A7" s="3" t="n">
        <v>45693</v>
      </c>
      <c r="B7" t="inlineStr">
        <is>
          <t>South</t>
        </is>
      </c>
      <c r="C7" t="inlineStr">
        <is>
          <t>Dev</t>
        </is>
      </c>
      <c r="D7" t="n">
        <v>45</v>
      </c>
      <c r="E7" s="4" t="n">
        <v>12</v>
      </c>
      <c r="F7" s="4">
        <f>D7*E7</f>
        <v/>
      </c>
      <c r="G7" s="4">
        <f>ROUND(F7*Rate,2)</f>
        <v/>
      </c>
    </row>
    <row r="8">
      <c r="A8" s="3" t="n">
        <v>45700</v>
      </c>
      <c r="B8" t="inlineStr">
        <is>
          <t>East</t>
        </is>
      </c>
      <c r="C8" t="inlineStr">
        <is>
          <t>Cara</t>
        </is>
      </c>
      <c r="D8" t="n">
        <v>52</v>
      </c>
      <c r="E8" s="4" t="n">
        <v>30</v>
      </c>
      <c r="F8" s="4">
        <f>D8*E8</f>
        <v/>
      </c>
      <c r="G8" s="4">
        <f>ROUND(F8*Rate,2)</f>
        <v/>
      </c>
      <c r="I8" t="inlineStr">
        <is>
          <t>Docs</t>
        </is>
      </c>
    </row>
    <row r="9">
      <c r="A9" s="3" t="n">
        <v>45707</v>
      </c>
      <c r="B9" t="inlineStr">
        <is>
          <t>West</t>
        </is>
      </c>
      <c r="C9" t="inlineStr">
        <is>
          <t>Bob</t>
        </is>
      </c>
      <c r="D9" t="n">
        <v>59</v>
      </c>
      <c r="E9" s="4" t="n">
        <v>7.25</v>
      </c>
      <c r="F9" s="4">
        <f>D9*E9</f>
        <v/>
      </c>
      <c r="G9" s="4">
        <f>ROUND(F9*Rate,2)</f>
        <v/>
      </c>
    </row>
    <row r="10">
      <c r="A10" s="3" t="n">
        <v>45714</v>
      </c>
      <c r="B10" t="inlineStr">
        <is>
          <t>North</t>
        </is>
      </c>
      <c r="C10" t="inlineStr">
        <is>
          <t>Ann</t>
        </is>
      </c>
      <c r="D10" t="n">
        <v>16</v>
      </c>
      <c r="E10" s="4" t="n">
        <v>4.5</v>
      </c>
      <c r="F10" s="4">
        <f>D10*E10</f>
        <v/>
      </c>
      <c r="G10" s="4">
        <f>ROUND(F10*Rate,2)</f>
        <v/>
      </c>
    </row>
    <row r="11">
      <c r="A11" s="3" t="n">
        <v>45721</v>
      </c>
      <c r="B11" t="inlineStr">
        <is>
          <t>South</t>
        </is>
      </c>
      <c r="C11" t="inlineStr">
        <is>
          <t>Dev</t>
        </is>
      </c>
      <c r="D11" t="n">
        <v>23</v>
      </c>
      <c r="E11" s="4" t="n">
        <v>12</v>
      </c>
      <c r="F11" s="4">
        <f>D11*E11</f>
        <v/>
      </c>
      <c r="G11" s="4">
        <f>ROUND(F11*Rate,2)</f>
        <v/>
      </c>
    </row>
    <row r="12">
      <c r="A12" s="3" t="n">
        <v>45728</v>
      </c>
      <c r="B12" t="inlineStr">
        <is>
          <t>East</t>
        </is>
      </c>
      <c r="C12" t="inlineStr">
        <is>
          <t>Cara</t>
        </is>
      </c>
      <c r="D12" t="n">
        <v>30</v>
      </c>
      <c r="E12" s="4" t="n">
        <v>30</v>
      </c>
      <c r="F12" s="4">
        <f>D12*E12</f>
        <v/>
      </c>
      <c r="G12" s="4">
        <f>ROUND(F12*Rate,2)</f>
        <v/>
      </c>
    </row>
    <row r="13">
      <c r="A13" s="3" t="n">
        <v>45735</v>
      </c>
      <c r="B13" t="inlineStr">
        <is>
          <t>West</t>
        </is>
      </c>
      <c r="C13" t="inlineStr">
        <is>
          <t>Bob</t>
        </is>
      </c>
      <c r="D13" t="n">
        <v>37</v>
      </c>
      <c r="E13" s="4" t="n">
        <v>7.25</v>
      </c>
      <c r="F13" s="4">
        <f>D13*E13</f>
        <v/>
      </c>
      <c r="G13" s="4">
        <f>ROUND(F13*Rate,2)</f>
        <v/>
      </c>
    </row>
    <row r="14">
      <c r="A14" s="3" t="n">
        <v>45742</v>
      </c>
      <c r="B14" t="inlineStr">
        <is>
          <t>North</t>
        </is>
      </c>
      <c r="C14" t="inlineStr">
        <is>
          <t>Ann</t>
        </is>
      </c>
      <c r="D14" t="n">
        <v>44</v>
      </c>
      <c r="E14" s="4" t="n">
        <v>4.5</v>
      </c>
      <c r="F14" s="4">
        <f>D14*E14</f>
        <v/>
      </c>
      <c r="G14" s="4">
        <f>ROUND(F14*Rate,2)</f>
        <v/>
      </c>
    </row>
    <row r="15">
      <c r="A15" s="3" t="n">
        <v>45749</v>
      </c>
      <c r="B15" t="inlineStr">
        <is>
          <t>South</t>
        </is>
      </c>
      <c r="C15" t="inlineStr">
        <is>
          <t>Dev</t>
        </is>
      </c>
      <c r="D15" t="n">
        <v>51</v>
      </c>
      <c r="E15" s="4" t="n">
        <v>12</v>
      </c>
      <c r="F15" s="4">
        <f>D15*E15</f>
        <v/>
      </c>
      <c r="G15" s="4">
        <f>ROUND(F15*Rate,2)</f>
        <v/>
      </c>
    </row>
    <row r="16">
      <c r="A16" s="3" t="n">
        <v>45756</v>
      </c>
      <c r="B16" t="inlineStr">
        <is>
          <t>East</t>
        </is>
      </c>
      <c r="C16" t="inlineStr">
        <is>
          <t>Cara</t>
        </is>
      </c>
      <c r="D16" t="n">
        <v>58</v>
      </c>
      <c r="E16" s="4" t="n">
        <v>30</v>
      </c>
      <c r="F16" s="4">
        <f>D16*E16</f>
        <v/>
      </c>
      <c r="G16" s="4">
        <f>ROUND(F16*Rate,2)</f>
        <v/>
      </c>
    </row>
    <row r="17">
      <c r="A17" s="3" t="n">
        <v>45763</v>
      </c>
      <c r="B17" t="inlineStr">
        <is>
          <t>West</t>
        </is>
      </c>
      <c r="C17" t="inlineStr">
        <is>
          <t>Bob</t>
        </is>
      </c>
      <c r="D17" t="n">
        <v>15</v>
      </c>
      <c r="E17" s="4" t="n">
        <v>7.25</v>
      </c>
      <c r="F17" s="4">
        <f>D17*E17</f>
        <v/>
      </c>
      <c r="G17" s="4">
        <f>ROUND(F17*Rate,2)</f>
        <v/>
      </c>
    </row>
    <row r="18">
      <c r="A18" s="3" t="n">
        <v>45770</v>
      </c>
      <c r="B18" t="inlineStr">
        <is>
          <t>North</t>
        </is>
      </c>
      <c r="C18" t="inlineStr">
        <is>
          <t>Ann</t>
        </is>
      </c>
      <c r="D18" t="n">
        <v>22</v>
      </c>
      <c r="E18" s="4" t="n">
        <v>4.5</v>
      </c>
      <c r="F18" s="4">
        <f>D18*E18</f>
        <v/>
      </c>
      <c r="G18" s="4">
        <f>ROUND(F18*Rate,2)</f>
        <v/>
      </c>
    </row>
    <row r="19">
      <c r="A19" s="3" t="n">
        <v>45777</v>
      </c>
      <c r="B19" t="inlineStr">
        <is>
          <t>South</t>
        </is>
      </c>
      <c r="C19" t="inlineStr">
        <is>
          <t>Dev</t>
        </is>
      </c>
      <c r="D19" t="n">
        <v>29</v>
      </c>
      <c r="E19" s="4" t="n">
        <v>12</v>
      </c>
      <c r="F19" s="4">
        <f>D19*E19</f>
        <v/>
      </c>
      <c r="G19" s="4">
        <f>ROUND(F19*Rate,2)</f>
        <v/>
      </c>
    </row>
    <row r="20">
      <c r="A20" s="3" t="n">
        <v>45784</v>
      </c>
      <c r="B20" t="inlineStr">
        <is>
          <t>East</t>
        </is>
      </c>
      <c r="C20" t="inlineStr">
        <is>
          <t>Cara</t>
        </is>
      </c>
      <c r="D20" t="n">
        <v>36</v>
      </c>
      <c r="E20" s="4" t="n">
        <v>30</v>
      </c>
      <c r="F20" s="4">
        <f>D20*E20</f>
        <v/>
      </c>
      <c r="G20" s="4">
        <f>ROUND(F20*Rate,2)</f>
        <v/>
      </c>
    </row>
    <row r="21">
      <c r="A21" s="3" t="n">
        <v>45791</v>
      </c>
      <c r="B21" t="inlineStr">
        <is>
          <t>West</t>
        </is>
      </c>
      <c r="C21" t="inlineStr">
        <is>
          <t>Bob</t>
        </is>
      </c>
      <c r="D21" t="n">
        <v>43</v>
      </c>
      <c r="E21" s="4" t="n">
        <v>7.25</v>
      </c>
      <c r="F21" s="4">
        <f>D21*E21</f>
        <v/>
      </c>
      <c r="G21" s="4">
        <f>ROUND(F21*Rate,2)</f>
        <v/>
      </c>
    </row>
  </sheetData>
  <autoFilter ref="A1:G21"/>
  <conditionalFormatting sqref="D2:D21">
    <cfRule type="cellIs" priority="1" operator="greaterThan" dxfId="0">
      <formula>40</formula>
    </cfRule>
  </conditionalFormatting>
  <conditionalFormatting sqref="F2:F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1">
    <cfRule type="dataBar" priority="3">
      <dataBar>
        <cfvo type="min"/>
        <cfvo type="max"/>
        <color rgb="00638EC6"/>
      </dataBar>
    </cfRule>
  </conditionalFormatting>
  <conditionalFormatting sqref="B2:B21">
    <cfRule type="expression" priority="4" dxfId="1">
      <formula>$B2="West"</formula>
    </cfRule>
  </conditionalFormatting>
  <dataValidations count="1">
    <dataValidation sqref="B2:B21" showDropDown="0" showInputMessage="0" showErrorMessage="0" allowBlank="0" type="list">
      <formula1>"North,South,East,West"</formula1>
    </dataValidation>
  </dataValidations>
  <hyperlinks>
    <hyperlink xmlns:r="http://schemas.openxmlformats.org/officeDocument/2006/relationships" ref="I8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SUMIFS('Sales Data'!F:F,'Sales Data'!B:B,A2)</f>
        <v/>
      </c>
    </row>
    <row r="3">
      <c r="A3" t="inlineStr">
        <is>
          <t>South</t>
        </is>
      </c>
      <c r="B3">
        <f>SUMIFS('Sales Data'!F:F,'Sales Data'!B:B,A3)</f>
        <v/>
      </c>
    </row>
    <row r="4">
      <c r="A4" t="inlineStr">
        <is>
          <t>East</t>
        </is>
      </c>
      <c r="B4">
        <f>SUMIFS('Sales Data'!F:F,'Sales Data'!B:B,A4)</f>
        <v/>
      </c>
    </row>
    <row r="5">
      <c r="A5" t="inlineStr">
        <is>
          <t>West</t>
        </is>
      </c>
      <c r="B5">
        <f>SUMIFS('Sales Data'!F:F,'Sales Data'!B:B,A5)</f>
        <v/>
      </c>
    </row>
    <row r="7">
      <c r="A7" s="5" t="inlineStr">
        <is>
          <t>Merged title</t>
        </is>
      </c>
    </row>
    <row r="8"/>
  </sheetData>
  <mergeCells count="1">
    <mergeCell ref="A7:C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2026-10-10T11:06:08Z</dcterms:created>
  <dcterms:modified xmlns:dcterms="http://purl.org/dc/terms/" xmlns:xsi="http://www.w3.org/2001/XMLSchema-instance" xsi:type="dcterms:W3CDTF">2026-10-10T11:06:08Z</dcterms:modified>
</cp:coreProperties>
</file>